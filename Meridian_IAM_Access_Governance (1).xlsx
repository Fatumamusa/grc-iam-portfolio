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JML Lifecycle Process" sheetId="2" state="visible" r:id="rId4"/>
    <sheet name="Access Review Tracker" sheetId="3" state="visible" r:id="rId5"/>
    <sheet name="Least-Privilege Access Matrix" sheetId="4" state="visible" r:id="rId6"/>
    <sheet name="SoD Conflict Mat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<sst xmlns="http://schemas.openxmlformats.org/spreadsheetml/2006/main" count="305" uniqueCount="193">
  <si>
    <t xml:space="preserve">Meridian Health Partners — IAM Access Governance Package</t>
  </si>
  <si>
    <t xml:space="preserve">Identity &amp; Access Management Governance Framework | Prepared by Saleh Abdu</t>
  </si>
  <si>
    <t xml:space="preserve">Purpose</t>
  </si>
  <si>
    <t xml:space="preserve">Demonstrates an end-to-end IAM access governance framework for a fictional 500-bed healthcare system, covering the full identity lifecycle, periodic access certification, least-privilege role mapping, and segregation-of-duties controls.</t>
  </si>
  <si>
    <t xml:space="preserve">Scope</t>
  </si>
  <si>
    <t xml:space="preserve">Covers on-prem Active Directory, Azure AD, EHR clinical application access, and the patient portal SaaS platform.</t>
  </si>
  <si>
    <t xml:space="preserve">Frameworks referenced</t>
  </si>
  <si>
    <t xml:space="preserve">NIST 800-53 (AC family), HIPAA Security Rule (Access Control 164.312(a)), ISO 27001 Annex A.9</t>
  </si>
  <si>
    <t xml:space="preserve">Sheets in this workbook</t>
  </si>
  <si>
    <t xml:space="preserve">1) Overview  2) JML Lifecycle Process  3) Access Review Tracker  4) Least-Privilege Access Matrix  5) SoD Conflict Matrix</t>
  </si>
  <si>
    <t xml:space="preserve">Author note</t>
  </si>
  <si>
    <t xml:space="preserve">Built to demonstrate practical IAM governance documentation skills, informed by hands-on SailPoint IdentityIQ provisioning, JML lifecycle, and access certification experience.</t>
  </si>
  <si>
    <t xml:space="preserve">Joiner-Mover-Leaver (JML) Lifecycle Process</t>
  </si>
  <si>
    <t xml:space="preserve">Defines standard access lifecycle steps, owners, SLAs, and controls</t>
  </si>
  <si>
    <t xml:space="preserve">Stage</t>
  </si>
  <si>
    <t xml:space="preserve">Trigger Event</t>
  </si>
  <si>
    <t xml:space="preserve">Action Required</t>
  </si>
  <si>
    <t xml:space="preserve">Responsible Party</t>
  </si>
  <si>
    <t xml:space="preserve">SLA (Business Days)</t>
  </si>
  <si>
    <t xml:space="preserve">System(s)</t>
  </si>
  <si>
    <t xml:space="preserve">Control / Evidence</t>
  </si>
  <si>
    <t xml:space="preserve">Joiner</t>
  </si>
  <si>
    <t xml:space="preserve">New hire start date confirmed by HR (HRIS record created)</t>
  </si>
  <si>
    <t xml:space="preserve">Create AD/Azure AD account; provision baseline access per role profile (least privilege); assign to correct OU/security groups</t>
  </si>
  <si>
    <t xml:space="preserve">IT Service Desk + Hiring Manager approval</t>
  </si>
  <si>
    <t xml:space="preserve">1</t>
  </si>
  <si>
    <t xml:space="preserve">Active Directory, Azure AD, EHR</t>
  </si>
  <si>
    <t xml:space="preserve">Provisioning ticket + manager approval recorded in ITSM</t>
  </si>
  <si>
    <t xml:space="preserve">Role-based access requested beyond baseline (e.g., clinical system access)</t>
  </si>
  <si>
    <t xml:space="preserve">Manager submits access request; IAM team validates against role matrix; SoD check performed</t>
  </si>
  <si>
    <t xml:space="preserve">IAM Analyst</t>
  </si>
  <si>
    <t xml:space="preserve">2</t>
  </si>
  <si>
    <t xml:space="preserve">EHR, Patient Portal Admin</t>
  </si>
  <si>
    <t xml:space="preserve">Access request form + SoD validation log</t>
  </si>
  <si>
    <t xml:space="preserve">Mover</t>
  </si>
  <si>
    <t xml:space="preserve">Employee transfer / promotion / department change in HRIS</t>
  </si>
  <si>
    <t xml:space="preserve">Review existing access; revoke access no longer required; provision new role-based access; re-validate SoD</t>
  </si>
  <si>
    <t xml:space="preserve">IAM Analyst + new Manager approval</t>
  </si>
  <si>
    <t xml:space="preserve">3</t>
  </si>
  <si>
    <t xml:space="preserve">AD, Azure AD, EHR</t>
  </si>
  <si>
    <t xml:space="preserve">Access change ticket + before/after access snapshot</t>
  </si>
  <si>
    <t xml:space="preserve">Temporary elevated access needed (e.g., project, on-call)</t>
  </si>
  <si>
    <t xml:space="preserve">Time-bound access grant with auto-expiration date set</t>
  </si>
  <si>
    <t xml:space="preserve">AD, Azure AD</t>
  </si>
  <si>
    <t xml:space="preserve">Time-bound access ticket with expiration field</t>
  </si>
  <si>
    <t xml:space="preserve">Leaver</t>
  </si>
  <si>
    <t xml:space="preserve">Termination notice received from HR (voluntary)</t>
  </si>
  <si>
    <t xml:space="preserve">Disable account at end of last working day; revoke all system access; transfer/archive data ownership</t>
  </si>
  <si>
    <t xml:space="preserve">IT Service Desk (HR-triggered workflow)</t>
  </si>
  <si>
    <t xml:space="preserve">Same day</t>
  </si>
  <si>
    <t xml:space="preserve">All systems</t>
  </si>
  <si>
    <t xml:space="preserve">Termination checklist signed off by HR + IT</t>
  </si>
  <si>
    <t xml:space="preserve">Involuntary termination / immediate risk</t>
  </si>
  <si>
    <t xml:space="preserve">Immediate account disable and access revocation upon HR/Security notification</t>
  </si>
  <si>
    <t xml:space="preserve">Security Team + IT Service Desk</t>
  </si>
  <si>
    <t xml:space="preserve">Immediate (within 1 hour)</t>
  </si>
  <si>
    <t xml:space="preserve">Emergency revocation log with timestamp</t>
  </si>
  <si>
    <t xml:space="preserve">Leave of absence &gt; 30 days</t>
  </si>
  <si>
    <t xml:space="preserve">Suspend (not delete) account; reassess access on return</t>
  </si>
  <si>
    <t xml:space="preserve">Suspension ticket + reactivation review</t>
  </si>
  <si>
    <t xml:space="preserve">Periodic</t>
  </si>
  <si>
    <t xml:space="preserve">Quarterly access recertification cycle begins</t>
  </si>
  <si>
    <t xml:space="preserve">Manager reviews direct reports' access; confirms or revokes; SoD re-validated</t>
  </si>
  <si>
    <t xml:space="preserve">Manager + IAM Analyst (oversight)</t>
  </si>
  <si>
    <t xml:space="preserve">10</t>
  </si>
  <si>
    <t xml:space="preserve">Signed access certification report (see Access Review Tracker tab)</t>
  </si>
  <si>
    <t xml:space="preserve">Quarterly User Access Review / Certification Tracker</t>
  </si>
  <si>
    <t xml:space="preserve">Q2 2026 Certification Cycle — Manager sign-off required for all entries</t>
  </si>
  <si>
    <t xml:space="preserve">User ID</t>
  </si>
  <si>
    <t xml:space="preserve">User Name</t>
  </si>
  <si>
    <t xml:space="preserve">Department</t>
  </si>
  <si>
    <t xml:space="preserve">System / Application</t>
  </si>
  <si>
    <t xml:space="preserve">Access Level / Role</t>
  </si>
  <si>
    <t xml:space="preserve">Last Reviewed</t>
  </si>
  <si>
    <t xml:space="preserve">Still Required?</t>
  </si>
  <si>
    <t xml:space="preserve">Reviewer Decision</t>
  </si>
  <si>
    <t xml:space="preserve">Reviewed By</t>
  </si>
  <si>
    <t xml:space="preserve">Notes / Justification</t>
  </si>
  <si>
    <t xml:space="preserve">U10231</t>
  </si>
  <si>
    <t xml:space="preserve">J. Alvarez</t>
  </si>
  <si>
    <t xml:space="preserve">Clinical Ops</t>
  </si>
  <si>
    <t xml:space="preserve">EHR - Clinician Module</t>
  </si>
  <si>
    <t xml:space="preserve">Standard Clinician</t>
  </si>
  <si>
    <t xml:space="preserve">2026-03-15</t>
  </si>
  <si>
    <t xml:space="preserve">Yes</t>
  </si>
  <si>
    <t xml:space="preserve">Certified</t>
  </si>
  <si>
    <t xml:space="preserve">M. Reyes (Mgr)</t>
  </si>
  <si>
    <t xml:space="preserve">Active clinician, access matches role</t>
  </si>
  <si>
    <t xml:space="preserve">U10232</t>
  </si>
  <si>
    <t xml:space="preserve">T. Nguyen</t>
  </si>
  <si>
    <t xml:space="preserve">IT</t>
  </si>
  <si>
    <t xml:space="preserve">Active Directory - Domain Admin</t>
  </si>
  <si>
    <t xml:space="preserve">Privileged Admin</t>
  </si>
  <si>
    <t xml:space="preserve">S. Patel (Mgr)</t>
  </si>
  <si>
    <t xml:space="preserve">Required for infrastructure support; SoD reviewed</t>
  </si>
  <si>
    <t xml:space="preserve">U10233</t>
  </si>
  <si>
    <t xml:space="preserve">R. Chen</t>
  </si>
  <si>
    <t xml:space="preserve">Finance</t>
  </si>
  <si>
    <t xml:space="preserve">EHR - Billing Module</t>
  </si>
  <si>
    <t xml:space="preserve">Billing Specialist</t>
  </si>
  <si>
    <t xml:space="preserve">No</t>
  </si>
  <si>
    <t xml:space="preserve">Revoke</t>
  </si>
  <si>
    <t xml:space="preserve">L. Brooks (Mgr)</t>
  </si>
  <si>
    <t xml:space="preserve">Transferred to AP team 02/2026; billing access no longer needed</t>
  </si>
  <si>
    <t xml:space="preserve">U10234</t>
  </si>
  <si>
    <t xml:space="preserve">K. Osei</t>
  </si>
  <si>
    <t xml:space="preserve">Patient Portal Admin</t>
  </si>
  <si>
    <t xml:space="preserve">Portal Administrator</t>
  </si>
  <si>
    <t xml:space="preserve">Confirmed active in role</t>
  </si>
  <si>
    <t xml:space="preserve">U10235</t>
  </si>
  <si>
    <t xml:space="preserve">D. Park</t>
  </si>
  <si>
    <t xml:space="preserve">IT staff incorrectly granted clinical access during provisioning; flagged as SoD risk</t>
  </si>
  <si>
    <t xml:space="preserve">U10236</t>
  </si>
  <si>
    <t xml:space="preserve">A. Whitfield</t>
  </si>
  <si>
    <t xml:space="preserve">HR</t>
  </si>
  <si>
    <t xml:space="preserve">Active Directory - HR Security Group</t>
  </si>
  <si>
    <t xml:space="preserve">HR Generalist</t>
  </si>
  <si>
    <t xml:space="preserve">J. Coleman (Mgr)</t>
  </si>
  <si>
    <t xml:space="preserve">Standard access for role</t>
  </si>
  <si>
    <t xml:space="preserve">U10237</t>
  </si>
  <si>
    <t xml:space="preserve">M. Delgado</t>
  </si>
  <si>
    <t xml:space="preserve">Billing Supervisor</t>
  </si>
  <si>
    <t xml:space="preserve">Access matches current role; SoD reviewed, no conflicts</t>
  </si>
  <si>
    <t xml:space="preserve">U10238</t>
  </si>
  <si>
    <t xml:space="preserve">C. Ibrahim</t>
  </si>
  <si>
    <t xml:space="preserve">Azure AD - Global Admin</t>
  </si>
  <si>
    <t xml:space="preserve">Revoke - Excessive</t>
  </si>
  <si>
    <t xml:space="preserve">Orphaned elevated access from prior project; no business justification found</t>
  </si>
  <si>
    <t xml:space="preserve">U10239</t>
  </si>
  <si>
    <t xml:space="preserve">E. Sato</t>
  </si>
  <si>
    <t xml:space="preserve">U10240</t>
  </si>
  <si>
    <t xml:space="preserve">F. Romero</t>
  </si>
  <si>
    <t xml:space="preserve">Access matches current role</t>
  </si>
  <si>
    <t xml:space="preserve">Summary</t>
  </si>
  <si>
    <t xml:space="preserve">Total Access Reviewed:</t>
  </si>
  <si>
    <t xml:space="preserve">Certified (No Change):</t>
  </si>
  <si>
    <t xml:space="preserve">Flagged for Revocation:</t>
  </si>
  <si>
    <t xml:space="preserve">Role-Based Least-Privilege Access Matrix</t>
  </si>
  <si>
    <t xml:space="preserve">Maps job roles to minimum required system entitlements</t>
  </si>
  <si>
    <t xml:space="preserve">Role</t>
  </si>
  <si>
    <t xml:space="preserve">AD Domain Access</t>
  </si>
  <si>
    <t xml:space="preserve">EHR Clinician Module</t>
  </si>
  <si>
    <t xml:space="preserve">EHR Billing Module</t>
  </si>
  <si>
    <t xml:space="preserve">Azure AD Admin</t>
  </si>
  <si>
    <t xml:space="preserve">Finance System</t>
  </si>
  <si>
    <t xml:space="preserve">Notes</t>
  </si>
  <si>
    <t xml:space="preserve">Clinician</t>
  </si>
  <si>
    <t xml:space="preserve">Standard User</t>
  </si>
  <si>
    <t xml:space="preserve">Read/Write</t>
  </si>
  <si>
    <t xml:space="preserve">None</t>
  </si>
  <si>
    <t xml:space="preserve">Baseline clinical role</t>
  </si>
  <si>
    <t xml:space="preserve">Clinical Supervisor</t>
  </si>
  <si>
    <t xml:space="preserve">Read</t>
  </si>
  <si>
    <t xml:space="preserve">Adds portal read for patient oversight</t>
  </si>
  <si>
    <t xml:space="preserve">No clinical access — SoD enforced</t>
  </si>
  <si>
    <t xml:space="preserve">Read/Write/Approve</t>
  </si>
  <si>
    <t xml:space="preserve">Approval rights for billing only</t>
  </si>
  <si>
    <t xml:space="preserve">IT Support Analyst</t>
  </si>
  <si>
    <t xml:space="preserve">Read (Tier 1)</t>
  </si>
  <si>
    <t xml:space="preserve">No clinical or billing access — SoD enforced</t>
  </si>
  <si>
    <t xml:space="preserve">IT/IAM Administrator</t>
  </si>
  <si>
    <t xml:space="preserve">Domain Admin</t>
  </si>
  <si>
    <t xml:space="preserve">Admin</t>
  </si>
  <si>
    <t xml:space="preserve">Privileged role — quarterly review required, MFA enforced</t>
  </si>
  <si>
    <t xml:space="preserve">HR Security Group</t>
  </si>
  <si>
    <t xml:space="preserve">Access limited to HRIS, not in this matrix</t>
  </si>
  <si>
    <t xml:space="preserve">No clinical/billing access — SoD enforced</t>
  </si>
  <si>
    <t xml:space="preserve">Segregation-of-Duties (SoD) Conflict Matrix</t>
  </si>
  <si>
    <t xml:space="preserve">Identifies access combinations that create unacceptable risk if held by one user</t>
  </si>
  <si>
    <t xml:space="preserve">Access A</t>
  </si>
  <si>
    <t xml:space="preserve">Access B</t>
  </si>
  <si>
    <t xml:space="preserve">Conflict?</t>
  </si>
  <si>
    <t xml:space="preserve">Risk Description</t>
  </si>
  <si>
    <t xml:space="preserve">Mitigating Control</t>
  </si>
  <si>
    <t xml:space="preserve">Severity</t>
  </si>
  <si>
    <t xml:space="preserve">EHR Billing Module - Write</t>
  </si>
  <si>
    <t xml:space="preserve">EHR Billing Module - Approve</t>
  </si>
  <si>
    <t xml:space="preserve">Same user could create and approve their own billing transactions, enabling fraud</t>
  </si>
  <si>
    <t xml:space="preserve">Approval role restricted to Billing Supervisor tier; quarterly audit of approver vs. preparer logs</t>
  </si>
  <si>
    <t xml:space="preserve">High</t>
  </si>
  <si>
    <t xml:space="preserve">IT staff with clinical data access creates unnecessary PHI exposure beyond job function</t>
  </si>
  <si>
    <t xml:space="preserve">Access matrix enforces exclusion; flagged automatically in access reviews (see U10235 example)</t>
  </si>
  <si>
    <t xml:space="preserve">Azure AD Global Admin</t>
  </si>
  <si>
    <t xml:space="preserve">Single user could both manage identities and directly access/alter patient-facing data</t>
  </si>
  <si>
    <t xml:space="preserve">Role split required; privileged access requires dual sign-off for provisioning</t>
  </si>
  <si>
    <t xml:space="preserve">Finance System - Write</t>
  </si>
  <si>
    <t xml:space="preserve">Standard billing role requires limited finance read access; not a conflict at this tier</t>
  </si>
  <si>
    <t xml:space="preserve">Standard least-privilege provisioning; reviewed quarterly</t>
  </si>
  <si>
    <t xml:space="preserve">Low</t>
  </si>
  <si>
    <t xml:space="preserve">Any Standard User Application Access</t>
  </si>
  <si>
    <t xml:space="preserve">Privileged admin accounts should not also hold standard day-to-day application access (increases attack surface)</t>
  </si>
  <si>
    <t xml:space="preserve">Separate standard user account required for non-admin tasks</t>
  </si>
  <si>
    <t xml:space="preserve">Medium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</si>
</sst>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0B4"/>
        <bgColor rgb="FFD9E2F3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49.5" hidden="false" customHeight="tru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5"/>
    </row>
    <row r="6" customFormat="false" ht="49.5" hidden="false" customHeight="tru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5"/>
      <c r="B7" s="5"/>
    </row>
    <row r="8" customFormat="false" ht="49.5" hidden="false" customHeight="true" outlineLevel="0" collapsed="false">
      <c r="A8" s="3" t="s">
        <v>6</v>
      </c>
      <c r="B8" s="4" t="s">
        <v>7</v>
      </c>
    </row>
    <row r="9" customFormat="false" ht="15" hidden="false" customHeight="false" outlineLevel="0" collapsed="false">
      <c r="A9" s="5"/>
      <c r="B9" s="5"/>
    </row>
    <row r="10" customFormat="false" ht="49.5" hidden="false" customHeight="true" outlineLevel="0" collapsed="false">
      <c r="A10" s="3" t="s">
        <v>8</v>
      </c>
      <c r="B10" s="4" t="s">
        <v>9</v>
      </c>
    </row>
    <row r="11" customFormat="false" ht="15" hidden="false" customHeight="false" outlineLevel="0" collapsed="false">
      <c r="A11" s="5"/>
      <c r="B11" s="5"/>
    </row>
    <row r="12" customFormat="false" ht="49.5" hidden="false" customHeight="true" outlineLevel="0" collapsed="false">
      <c r="A12" s="3" t="s">
        <v>10</v>
      </c>
      <c r="B12" s="4" t="s">
        <v>11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30"/>
  </cols>
  <sheetData>
    <row r="1" customFormat="false" ht="25.5" hidden="false" customHeight="true" outlineLevel="0" collapsed="false">
      <c r="A1" s="1" t="s">
        <v>12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13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</row>
    <row r="5" customFormat="false" ht="48" hidden="false" customHeight="true" outlineLevel="0" collapsed="false">
      <c r="A5" s="7" t="s">
        <v>21</v>
      </c>
      <c r="B5" s="7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customFormat="false" ht="48" hidden="false" customHeight="true" outlineLevel="0" collapsed="false">
      <c r="A6" s="4" t="s">
        <v>21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</row>
    <row r="7" customFormat="false" ht="48" hidden="false" customHeight="true" outlineLevel="0" collapsed="false">
      <c r="A7" s="7" t="s">
        <v>34</v>
      </c>
      <c r="B7" s="7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7" t="s">
        <v>40</v>
      </c>
    </row>
    <row r="8" customFormat="false" ht="48" hidden="false" customHeight="true" outlineLevel="0" collapsed="false">
      <c r="A8" s="4" t="s">
        <v>34</v>
      </c>
      <c r="B8" s="4" t="s">
        <v>41</v>
      </c>
      <c r="C8" s="4" t="s">
        <v>42</v>
      </c>
      <c r="D8" s="4" t="s">
        <v>30</v>
      </c>
      <c r="E8" s="4" t="s">
        <v>25</v>
      </c>
      <c r="F8" s="4" t="s">
        <v>43</v>
      </c>
      <c r="G8" s="4" t="s">
        <v>44</v>
      </c>
    </row>
    <row r="9" customFormat="false" ht="48" hidden="false" customHeight="true" outlineLevel="0" collapsed="false">
      <c r="A9" s="7" t="s">
        <v>45</v>
      </c>
      <c r="B9" s="7" t="s">
        <v>46</v>
      </c>
      <c r="C9" s="7" t="s">
        <v>47</v>
      </c>
      <c r="D9" s="7" t="s">
        <v>48</v>
      </c>
      <c r="E9" s="7" t="s">
        <v>49</v>
      </c>
      <c r="F9" s="7" t="s">
        <v>50</v>
      </c>
      <c r="G9" s="7" t="s">
        <v>51</v>
      </c>
    </row>
    <row r="10" customFormat="false" ht="48" hidden="false" customHeight="true" outlineLevel="0" collapsed="false">
      <c r="A10" s="4" t="s">
        <v>45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50</v>
      </c>
      <c r="G10" s="4" t="s">
        <v>56</v>
      </c>
    </row>
    <row r="11" customFormat="false" ht="48" hidden="false" customHeight="true" outlineLevel="0" collapsed="false">
      <c r="A11" s="7" t="s">
        <v>45</v>
      </c>
      <c r="B11" s="7" t="s">
        <v>57</v>
      </c>
      <c r="C11" s="7" t="s">
        <v>58</v>
      </c>
      <c r="D11" s="7" t="s">
        <v>30</v>
      </c>
      <c r="E11" s="7" t="s">
        <v>25</v>
      </c>
      <c r="F11" s="7" t="s">
        <v>43</v>
      </c>
      <c r="G11" s="7" t="s">
        <v>59</v>
      </c>
    </row>
    <row r="12" customFormat="false" ht="48" hidden="false" customHeight="true" outlineLevel="0" collapsed="false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50</v>
      </c>
      <c r="G12" s="4" t="s">
        <v>65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28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67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6" t="s">
        <v>68</v>
      </c>
      <c r="B4" s="6" t="s">
        <v>69</v>
      </c>
      <c r="C4" s="6" t="s">
        <v>70</v>
      </c>
      <c r="D4" s="6" t="s">
        <v>71</v>
      </c>
      <c r="E4" s="6" t="s">
        <v>72</v>
      </c>
      <c r="F4" s="6" t="s">
        <v>73</v>
      </c>
      <c r="G4" s="6" t="s">
        <v>74</v>
      </c>
      <c r="H4" s="6" t="s">
        <v>75</v>
      </c>
      <c r="I4" s="6" t="s">
        <v>76</v>
      </c>
      <c r="J4" s="6" t="s">
        <v>77</v>
      </c>
    </row>
    <row r="5" customFormat="false" ht="30" hidden="false" customHeight="true" outlineLevel="0" collapsed="false">
      <c r="A5" s="7" t="s">
        <v>78</v>
      </c>
      <c r="B5" s="7" t="s">
        <v>79</v>
      </c>
      <c r="C5" s="7" t="s">
        <v>80</v>
      </c>
      <c r="D5" s="7" t="s">
        <v>81</v>
      </c>
      <c r="E5" s="7" t="s">
        <v>82</v>
      </c>
      <c r="F5" s="7" t="s">
        <v>83</v>
      </c>
      <c r="G5" s="7" t="s">
        <v>84</v>
      </c>
      <c r="H5" s="8" t="s">
        <v>85</v>
      </c>
      <c r="I5" s="7" t="s">
        <v>86</v>
      </c>
      <c r="J5" s="7" t="s">
        <v>87</v>
      </c>
    </row>
    <row r="6" customFormat="false" ht="30" hidden="false" customHeight="true" outlineLevel="0" collapsed="false">
      <c r="A6" s="4" t="s">
        <v>88</v>
      </c>
      <c r="B6" s="4" t="s">
        <v>89</v>
      </c>
      <c r="C6" s="4" t="s">
        <v>90</v>
      </c>
      <c r="D6" s="4" t="s">
        <v>91</v>
      </c>
      <c r="E6" s="4" t="s">
        <v>92</v>
      </c>
      <c r="F6" s="4" t="s">
        <v>83</v>
      </c>
      <c r="G6" s="4" t="s">
        <v>84</v>
      </c>
      <c r="H6" s="8" t="s">
        <v>85</v>
      </c>
      <c r="I6" s="4" t="s">
        <v>93</v>
      </c>
      <c r="J6" s="4" t="s">
        <v>94</v>
      </c>
    </row>
    <row r="7" customFormat="false" ht="30" hidden="false" customHeight="true" outlineLevel="0" collapsed="false">
      <c r="A7" s="7" t="s">
        <v>95</v>
      </c>
      <c r="B7" s="7" t="s">
        <v>96</v>
      </c>
      <c r="C7" s="7" t="s">
        <v>97</v>
      </c>
      <c r="D7" s="7" t="s">
        <v>98</v>
      </c>
      <c r="E7" s="7" t="s">
        <v>99</v>
      </c>
      <c r="F7" s="7" t="s">
        <v>83</v>
      </c>
      <c r="G7" s="7" t="s">
        <v>100</v>
      </c>
      <c r="H7" s="9" t="s">
        <v>101</v>
      </c>
      <c r="I7" s="7" t="s">
        <v>102</v>
      </c>
      <c r="J7" s="7" t="s">
        <v>103</v>
      </c>
    </row>
    <row r="8" customFormat="false" ht="30" hidden="false" customHeight="true" outlineLevel="0" collapsed="false">
      <c r="A8" s="4" t="s">
        <v>104</v>
      </c>
      <c r="B8" s="4" t="s">
        <v>105</v>
      </c>
      <c r="C8" s="4" t="s">
        <v>80</v>
      </c>
      <c r="D8" s="4" t="s">
        <v>106</v>
      </c>
      <c r="E8" s="4" t="s">
        <v>107</v>
      </c>
      <c r="F8" s="4" t="s">
        <v>83</v>
      </c>
      <c r="G8" s="4" t="s">
        <v>84</v>
      </c>
      <c r="H8" s="8" t="s">
        <v>85</v>
      </c>
      <c r="I8" s="4" t="s">
        <v>86</v>
      </c>
      <c r="J8" s="4" t="s">
        <v>108</v>
      </c>
    </row>
    <row r="9" customFormat="false" ht="30" hidden="false" customHeight="true" outlineLevel="0" collapsed="false">
      <c r="A9" s="7" t="s">
        <v>109</v>
      </c>
      <c r="B9" s="7" t="s">
        <v>110</v>
      </c>
      <c r="C9" s="7" t="s">
        <v>90</v>
      </c>
      <c r="D9" s="7" t="s">
        <v>81</v>
      </c>
      <c r="E9" s="7" t="s">
        <v>82</v>
      </c>
      <c r="F9" s="7" t="s">
        <v>83</v>
      </c>
      <c r="G9" s="7" t="s">
        <v>100</v>
      </c>
      <c r="H9" s="9" t="s">
        <v>101</v>
      </c>
      <c r="I9" s="7" t="s">
        <v>93</v>
      </c>
      <c r="J9" s="7" t="s">
        <v>111</v>
      </c>
    </row>
    <row r="10" customFormat="false" ht="30" hidden="false" customHeight="true" outlineLevel="0" collapsed="false">
      <c r="A10" s="4" t="s">
        <v>112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83</v>
      </c>
      <c r="G10" s="4" t="s">
        <v>84</v>
      </c>
      <c r="H10" s="8" t="s">
        <v>85</v>
      </c>
      <c r="I10" s="4" t="s">
        <v>117</v>
      </c>
      <c r="J10" s="4" t="s">
        <v>118</v>
      </c>
    </row>
    <row r="11" customFormat="false" ht="30" hidden="false" customHeight="true" outlineLevel="0" collapsed="false">
      <c r="A11" s="7" t="s">
        <v>119</v>
      </c>
      <c r="B11" s="7" t="s">
        <v>120</v>
      </c>
      <c r="C11" s="7" t="s">
        <v>97</v>
      </c>
      <c r="D11" s="7" t="s">
        <v>98</v>
      </c>
      <c r="E11" s="7" t="s">
        <v>121</v>
      </c>
      <c r="F11" s="7" t="s">
        <v>83</v>
      </c>
      <c r="G11" s="7" t="s">
        <v>84</v>
      </c>
      <c r="H11" s="8" t="s">
        <v>85</v>
      </c>
      <c r="I11" s="7" t="s">
        <v>102</v>
      </c>
      <c r="J11" s="7" t="s">
        <v>122</v>
      </c>
    </row>
    <row r="12" customFormat="false" ht="30" hidden="false" customHeight="true" outlineLevel="0" collapsed="false">
      <c r="A12" s="4" t="s">
        <v>123</v>
      </c>
      <c r="B12" s="4" t="s">
        <v>124</v>
      </c>
      <c r="C12" s="4" t="s">
        <v>90</v>
      </c>
      <c r="D12" s="4" t="s">
        <v>125</v>
      </c>
      <c r="E12" s="4" t="s">
        <v>92</v>
      </c>
      <c r="F12" s="4" t="s">
        <v>83</v>
      </c>
      <c r="G12" s="4" t="s">
        <v>100</v>
      </c>
      <c r="H12" s="10" t="s">
        <v>126</v>
      </c>
      <c r="I12" s="4" t="s">
        <v>93</v>
      </c>
      <c r="J12" s="4" t="s">
        <v>127</v>
      </c>
    </row>
    <row r="13" customFormat="false" ht="30" hidden="false" customHeight="true" outlineLevel="0" collapsed="false">
      <c r="A13" s="7" t="s">
        <v>128</v>
      </c>
      <c r="B13" s="7" t="s">
        <v>129</v>
      </c>
      <c r="C13" s="7" t="s">
        <v>80</v>
      </c>
      <c r="D13" s="7" t="s">
        <v>81</v>
      </c>
      <c r="E13" s="7" t="s">
        <v>82</v>
      </c>
      <c r="F13" s="7" t="s">
        <v>83</v>
      </c>
      <c r="G13" s="7" t="s">
        <v>84</v>
      </c>
      <c r="H13" s="8" t="s">
        <v>85</v>
      </c>
      <c r="I13" s="7" t="s">
        <v>86</v>
      </c>
      <c r="J13" s="7" t="s">
        <v>87</v>
      </c>
    </row>
    <row r="14" customFormat="false" ht="30" hidden="false" customHeight="true" outlineLevel="0" collapsed="false">
      <c r="A14" s="4" t="s">
        <v>130</v>
      </c>
      <c r="B14" s="4" t="s">
        <v>131</v>
      </c>
      <c r="C14" s="4" t="s">
        <v>97</v>
      </c>
      <c r="D14" s="4" t="s">
        <v>98</v>
      </c>
      <c r="E14" s="4" t="s">
        <v>99</v>
      </c>
      <c r="F14" s="4" t="s">
        <v>83</v>
      </c>
      <c r="G14" s="4" t="s">
        <v>84</v>
      </c>
      <c r="H14" s="8" t="s">
        <v>85</v>
      </c>
      <c r="I14" s="4" t="s">
        <v>102</v>
      </c>
      <c r="J14" s="4" t="s">
        <v>132</v>
      </c>
    </row>
    <row r="17" customFormat="false" ht="15" hidden="false" customHeight="false" outlineLevel="0" collapsed="false">
      <c r="A17" s="11" t="s">
        <v>133</v>
      </c>
    </row>
    <row r="18" customFormat="false" ht="15" hidden="false" customHeight="false" outlineLevel="0" collapsed="false">
      <c r="A18" s="12" t="s">
        <v>134</v>
      </c>
      <c r="B18" s="13" t="n">
        <f aca="false">COUNTA(A5:A14)</f>
        <v>10</v>
      </c>
    </row>
    <row r="19" customFormat="false" ht="15" hidden="false" customHeight="false" outlineLevel="0" collapsed="false">
      <c r="A19" s="12" t="s">
        <v>135</v>
      </c>
      <c r="B19" s="13" t="n">
        <f aca="false">COUNTIF(H5:H14,"Certified")</f>
        <v>7</v>
      </c>
    </row>
    <row r="20" customFormat="false" ht="15" hidden="false" customHeight="false" outlineLevel="0" collapsed="false">
      <c r="A20" s="12" t="s">
        <v>136</v>
      </c>
      <c r="B20" s="13" t="n">
        <f aca="false">COUNTIF(H5:H14,"Revoke")+COUNTIF(H5:H14,"Revoke - Excessive")</f>
        <v>3</v>
      </c>
    </row>
  </sheetData>
  <mergeCells count="2">
    <mergeCell ref="A1:J1"/>
    <mergeCell ref="A2:J2"/>
  </mergeCells>
  <dataValidations count="1">
    <dataValidation allowBlank="false" errorStyle="stop" operator="between" showDropDown="false" showErrorMessage="false" showInputMessage="false" sqref="H5:H14" type="list">
      <formula1>"Certified,Revoke,Revoke - Excessive,Modify"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  <col collapsed="false" customWidth="true" hidden="false" outlineLevel="0" max="8" min="8" style="0" width="30"/>
  </cols>
  <sheetData>
    <row r="1" customFormat="false" ht="25.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6" t="s">
        <v>139</v>
      </c>
      <c r="B4" s="6" t="s">
        <v>140</v>
      </c>
      <c r="C4" s="6" t="s">
        <v>141</v>
      </c>
      <c r="D4" s="6" t="s">
        <v>142</v>
      </c>
      <c r="E4" s="6" t="s">
        <v>106</v>
      </c>
      <c r="F4" s="6" t="s">
        <v>143</v>
      </c>
      <c r="G4" s="6" t="s">
        <v>144</v>
      </c>
      <c r="H4" s="6" t="s">
        <v>145</v>
      </c>
    </row>
    <row r="5" customFormat="false" ht="30" hidden="false" customHeight="true" outlineLevel="0" collapsed="false">
      <c r="A5" s="14" t="s">
        <v>146</v>
      </c>
      <c r="B5" s="15" t="s">
        <v>147</v>
      </c>
      <c r="C5" s="15" t="s">
        <v>148</v>
      </c>
      <c r="D5" s="16" t="s">
        <v>149</v>
      </c>
      <c r="E5" s="16" t="s">
        <v>149</v>
      </c>
      <c r="F5" s="16" t="s">
        <v>149</v>
      </c>
      <c r="G5" s="16" t="s">
        <v>149</v>
      </c>
      <c r="H5" s="14" t="s">
        <v>150</v>
      </c>
    </row>
    <row r="6" customFormat="false" ht="30" hidden="false" customHeight="true" outlineLevel="0" collapsed="false">
      <c r="A6" s="17" t="s">
        <v>151</v>
      </c>
      <c r="B6" s="15" t="s">
        <v>147</v>
      </c>
      <c r="C6" s="15" t="s">
        <v>148</v>
      </c>
      <c r="D6" s="16" t="s">
        <v>149</v>
      </c>
      <c r="E6" s="15" t="s">
        <v>152</v>
      </c>
      <c r="F6" s="16" t="s">
        <v>149</v>
      </c>
      <c r="G6" s="16" t="s">
        <v>149</v>
      </c>
      <c r="H6" s="17" t="s">
        <v>153</v>
      </c>
    </row>
    <row r="7" customFormat="false" ht="30" hidden="false" customHeight="true" outlineLevel="0" collapsed="false">
      <c r="A7" s="14" t="s">
        <v>99</v>
      </c>
      <c r="B7" s="15" t="s">
        <v>147</v>
      </c>
      <c r="C7" s="16" t="s">
        <v>149</v>
      </c>
      <c r="D7" s="15" t="s">
        <v>148</v>
      </c>
      <c r="E7" s="16" t="s">
        <v>149</v>
      </c>
      <c r="F7" s="16" t="s">
        <v>149</v>
      </c>
      <c r="G7" s="15" t="s">
        <v>152</v>
      </c>
      <c r="H7" s="14" t="s">
        <v>154</v>
      </c>
    </row>
    <row r="8" customFormat="false" ht="30" hidden="false" customHeight="true" outlineLevel="0" collapsed="false">
      <c r="A8" s="17" t="s">
        <v>121</v>
      </c>
      <c r="B8" s="15" t="s">
        <v>147</v>
      </c>
      <c r="C8" s="16" t="s">
        <v>149</v>
      </c>
      <c r="D8" s="18" t="s">
        <v>155</v>
      </c>
      <c r="E8" s="16" t="s">
        <v>149</v>
      </c>
      <c r="F8" s="16" t="s">
        <v>149</v>
      </c>
      <c r="G8" s="15" t="s">
        <v>148</v>
      </c>
      <c r="H8" s="17" t="s">
        <v>156</v>
      </c>
    </row>
    <row r="9" customFormat="false" ht="30" hidden="false" customHeight="true" outlineLevel="0" collapsed="false">
      <c r="A9" s="14" t="s">
        <v>157</v>
      </c>
      <c r="B9" s="15" t="s">
        <v>147</v>
      </c>
      <c r="C9" s="16" t="s">
        <v>149</v>
      </c>
      <c r="D9" s="16" t="s">
        <v>149</v>
      </c>
      <c r="E9" s="16" t="s">
        <v>149</v>
      </c>
      <c r="F9" s="15" t="s">
        <v>158</v>
      </c>
      <c r="G9" s="16" t="s">
        <v>149</v>
      </c>
      <c r="H9" s="14" t="s">
        <v>159</v>
      </c>
    </row>
    <row r="10" customFormat="false" ht="30" hidden="false" customHeight="true" outlineLevel="0" collapsed="false">
      <c r="A10" s="17" t="s">
        <v>160</v>
      </c>
      <c r="B10" s="18" t="s">
        <v>161</v>
      </c>
      <c r="C10" s="16" t="s">
        <v>149</v>
      </c>
      <c r="D10" s="16" t="s">
        <v>149</v>
      </c>
      <c r="E10" s="18" t="s">
        <v>162</v>
      </c>
      <c r="F10" s="18" t="s">
        <v>162</v>
      </c>
      <c r="G10" s="16" t="s">
        <v>149</v>
      </c>
      <c r="H10" s="17" t="s">
        <v>163</v>
      </c>
    </row>
    <row r="11" customFormat="false" ht="30" hidden="false" customHeight="true" outlineLevel="0" collapsed="false">
      <c r="A11" s="14" t="s">
        <v>116</v>
      </c>
      <c r="B11" s="15" t="s">
        <v>164</v>
      </c>
      <c r="C11" s="16" t="s">
        <v>149</v>
      </c>
      <c r="D11" s="16" t="s">
        <v>149</v>
      </c>
      <c r="E11" s="16" t="s">
        <v>149</v>
      </c>
      <c r="F11" s="16" t="s">
        <v>149</v>
      </c>
      <c r="G11" s="16" t="s">
        <v>149</v>
      </c>
      <c r="H11" s="14" t="s">
        <v>165</v>
      </c>
    </row>
    <row r="12" customFormat="false" ht="30" hidden="false" customHeight="true" outlineLevel="0" collapsed="false">
      <c r="A12" s="17" t="s">
        <v>107</v>
      </c>
      <c r="B12" s="15" t="s">
        <v>147</v>
      </c>
      <c r="C12" s="16" t="s">
        <v>149</v>
      </c>
      <c r="D12" s="16" t="s">
        <v>149</v>
      </c>
      <c r="E12" s="18" t="s">
        <v>162</v>
      </c>
      <c r="F12" s="16" t="s">
        <v>149</v>
      </c>
      <c r="G12" s="16" t="s">
        <v>149</v>
      </c>
      <c r="H12" s="17" t="s">
        <v>166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167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168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6" t="s">
        <v>169</v>
      </c>
      <c r="B4" s="6" t="s">
        <v>170</v>
      </c>
      <c r="C4" s="6" t="s">
        <v>171</v>
      </c>
      <c r="D4" s="6" t="s">
        <v>172</v>
      </c>
      <c r="E4" s="6" t="s">
        <v>173</v>
      </c>
      <c r="F4" s="6" t="s">
        <v>174</v>
      </c>
    </row>
    <row r="5" customFormat="false" ht="49.5" hidden="false" customHeight="true" outlineLevel="0" collapsed="false">
      <c r="A5" s="7" t="s">
        <v>175</v>
      </c>
      <c r="B5" s="7" t="s">
        <v>176</v>
      </c>
      <c r="C5" s="10" t="s">
        <v>84</v>
      </c>
      <c r="D5" s="7" t="s">
        <v>177</v>
      </c>
      <c r="E5" s="7" t="s">
        <v>178</v>
      </c>
      <c r="F5" s="10" t="s">
        <v>179</v>
      </c>
    </row>
    <row r="6" customFormat="false" ht="49.5" hidden="false" customHeight="true" outlineLevel="0" collapsed="false">
      <c r="A6" s="4" t="s">
        <v>160</v>
      </c>
      <c r="B6" s="4" t="s">
        <v>141</v>
      </c>
      <c r="C6" s="10" t="s">
        <v>84</v>
      </c>
      <c r="D6" s="4" t="s">
        <v>180</v>
      </c>
      <c r="E6" s="4" t="s">
        <v>181</v>
      </c>
      <c r="F6" s="10" t="s">
        <v>179</v>
      </c>
    </row>
    <row r="7" customFormat="false" ht="49.5" hidden="false" customHeight="true" outlineLevel="0" collapsed="false">
      <c r="A7" s="7" t="s">
        <v>182</v>
      </c>
      <c r="B7" s="7" t="s">
        <v>106</v>
      </c>
      <c r="C7" s="10" t="s">
        <v>84</v>
      </c>
      <c r="D7" s="7" t="s">
        <v>183</v>
      </c>
      <c r="E7" s="7" t="s">
        <v>184</v>
      </c>
      <c r="F7" s="10" t="s">
        <v>179</v>
      </c>
    </row>
    <row r="8" customFormat="false" ht="49.5" hidden="false" customHeight="true" outlineLevel="0" collapsed="false">
      <c r="A8" s="4" t="s">
        <v>99</v>
      </c>
      <c r="B8" s="4" t="s">
        <v>185</v>
      </c>
      <c r="C8" s="8" t="s">
        <v>100</v>
      </c>
      <c r="D8" s="4" t="s">
        <v>186</v>
      </c>
      <c r="E8" s="4" t="s">
        <v>187</v>
      </c>
      <c r="F8" s="8" t="s">
        <v>188</v>
      </c>
    </row>
    <row r="9" customFormat="false" ht="49.5" hidden="false" customHeight="true" outlineLevel="0" collapsed="false">
      <c r="A9" s="7" t="s">
        <v>161</v>
      </c>
      <c r="B9" s="7" t="s">
        <v>189</v>
      </c>
      <c r="C9" s="10" t="s">
        <v>84</v>
      </c>
      <c r="D9" s="7" t="s">
        <v>190</v>
      </c>
      <c r="E9" s="7" t="s">
        <v>191</v>
      </c>
      <c r="F9" s="9" t="s">
        <v>192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2026-06-19T21:24:16Z</dcterms:created>
  <dc:creator>openpyxl</dc:creator>
  <dc:description/>
  <dc:language>en-US</dc:language>
  <cp:lastModifiedBy/>
  <dcterms:modified xsi:type="dcterms:W3CDTF">2026-06-19T21:24:16Z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